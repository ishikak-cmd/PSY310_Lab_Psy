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hika\Desktop\Lab in Psy\Priming\data\"/>
    </mc:Choice>
  </mc:AlternateContent>
  <xr:revisionPtr revIDLastSave="0" documentId="13_ncr:9_{3BA2923E-B65C-428D-8DF6-AF2784138FAE}" xr6:coauthVersionLast="47" xr6:coauthVersionMax="47" xr10:uidLastSave="{00000000-0000-0000-0000-000000000000}"/>
  <bookViews>
    <workbookView xWindow="12710" yWindow="0" windowWidth="12980" windowHeight="16090" activeTab="1" xr2:uid="{FDB65387-A981-4906-BCB0-3975136C8541}"/>
  </bookViews>
  <sheets>
    <sheet name="002_Primingexp._IshikaKori_AU23" sheetId="1" r:id="rId1"/>
    <sheet name="Analysis " sheetId="2" r:id="rId2"/>
  </sheets>
  <calcPr calcId="0"/>
</workbook>
</file>

<file path=xl/calcChain.xml><?xml version="1.0" encoding="utf-8"?>
<calcChain xmlns="http://schemas.openxmlformats.org/spreadsheetml/2006/main">
  <c r="H11" i="2" l="1"/>
  <c r="F15" i="2" s="1"/>
</calcChain>
</file>

<file path=xl/sharedStrings.xml><?xml version="1.0" encoding="utf-8"?>
<sst xmlns="http://schemas.openxmlformats.org/spreadsheetml/2006/main" count="550" uniqueCount="149">
  <si>
    <t>study_word</t>
  </si>
  <si>
    <t>thisN</t>
  </si>
  <si>
    <t>thisTrialN</t>
  </si>
  <si>
    <t>thisRepN</t>
  </si>
  <si>
    <t>studyslider.response</t>
  </si>
  <si>
    <t>studyslider.rt</t>
  </si>
  <si>
    <t>test_word</t>
  </si>
  <si>
    <t>test_textbox.text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</si>
  <si>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</si>
  <si>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</si>
  <si>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</si>
  <si>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</si>
  <si>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</si>
  <si>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</si>
  <si>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</si>
  <si>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</si>
  <si>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</si>
  <si>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</si>
  <si>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</si>
  <si>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</si>
  <si>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</si>
  <si>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</si>
  <si>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</si>
  <si>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</si>
  <si>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</si>
  <si>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</si>
  <si>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StudyText.started</t>
  </si>
  <si>
    <t>studyslider.started</t>
  </si>
  <si>
    <t>trial.stopped</t>
  </si>
  <si>
    <t>trials.studyslider.response</t>
  </si>
  <si>
    <t>trials.studyslider.rt</t>
  </si>
  <si>
    <t>Test.started</t>
  </si>
  <si>
    <t>testtext.started</t>
  </si>
  <si>
    <t>test_textbox.started</t>
  </si>
  <si>
    <t>submit_text.started</t>
  </si>
  <si>
    <t>mouse.started</t>
  </si>
  <si>
    <t>Test.stopped</t>
  </si>
  <si>
    <t>trials_2.test_textbox.text</t>
  </si>
  <si>
    <t>trials_2.mouse.x</t>
  </si>
  <si>
    <t>trials_2.mouse.y</t>
  </si>
  <si>
    <t>trials_2.mouse.leftButton</t>
  </si>
  <si>
    <t>trials_2.mouse.midButton</t>
  </si>
  <si>
    <t>trials_2.mouse.rightButton</t>
  </si>
  <si>
    <t>trials_2.mouse.time</t>
  </si>
  <si>
    <t>trials_2.mouse.clicked_name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</si>
  <si>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</si>
  <si>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</si>
  <si>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</si>
  <si>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</si>
  <si>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</si>
  <si>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</si>
  <si>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</si>
  <si>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</si>
  <si>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 xml:space="preserve">book </t>
  </si>
  <si>
    <t>2025-10-16_16h56.02.979</t>
  </si>
  <si>
    <t>Primingexp._IshikaKori_AU2320248</t>
  </si>
  <si>
    <t>2025.1.1</t>
  </si>
  <si>
    <t>2025-10-16 16h56.10.077646 +0530</t>
  </si>
  <si>
    <t>t-shirt</t>
  </si>
  <si>
    <t>cushion</t>
  </si>
  <si>
    <t>Table</t>
  </si>
  <si>
    <t>pastry</t>
  </si>
  <si>
    <t>laptop</t>
  </si>
  <si>
    <t>key</t>
  </si>
  <si>
    <t>board</t>
  </si>
  <si>
    <t>case</t>
  </si>
  <si>
    <t xml:space="preserve">mouse </t>
  </si>
  <si>
    <t>poster</t>
  </si>
  <si>
    <t>phone</t>
  </si>
  <si>
    <t>chart</t>
  </si>
  <si>
    <t>marble</t>
  </si>
  <si>
    <t xml:space="preserve">police </t>
  </si>
  <si>
    <t>_ru_s_</t>
  </si>
  <si>
    <t xml:space="preserve">brush
</t>
  </si>
  <si>
    <t>[np.float64(-0.056875)]</t>
  </si>
  <si>
    <t>[np.float64(-0.313125)]</t>
  </si>
  <si>
    <t>[1]</t>
  </si>
  <si>
    <t>[0]</t>
  </si>
  <si>
    <t>[21.67792240000199]</t>
  </si>
  <si>
    <t>['submit_text']</t>
  </si>
  <si>
    <t>p_li_e</t>
  </si>
  <si>
    <t xml:space="preserve">polic
</t>
  </si>
  <si>
    <t>[np.float64(-0.05)]</t>
  </si>
  <si>
    <t>[np.float64(-0.320625)]</t>
  </si>
  <si>
    <t>[13.595853399998305]</t>
  </si>
  <si>
    <t>c_s_io_</t>
  </si>
  <si>
    <t>[9.978122699998494]</t>
  </si>
  <si>
    <t>_a_ble</t>
  </si>
  <si>
    <t>table</t>
  </si>
  <si>
    <t>[np.float64(-0.048125), np.float64(-0.018125), np.float64(0.01125)]</t>
  </si>
  <si>
    <t>[np.float64(-0.328125), np.float64(-0.333125), np.float64(-0.306875)]</t>
  </si>
  <si>
    <t>[1, 1, 1]</t>
  </si>
  <si>
    <t>[0, 0, 0]</t>
  </si>
  <si>
    <t>[2.5442717999976594, 3.927790300000197, 4.395293399997172]</t>
  </si>
  <si>
    <t>[None, None, 'submit_text']</t>
  </si>
  <si>
    <t>_ho_e</t>
  </si>
  <si>
    <t>shose</t>
  </si>
  <si>
    <t>[np.float64(0.02125)]</t>
  </si>
  <si>
    <t>[np.float64(-0.30375)]</t>
  </si>
  <si>
    <t>[24.91186799999923]</t>
  </si>
  <si>
    <t>l_pt_p</t>
  </si>
  <si>
    <t>[3.1654926000010164]</t>
  </si>
  <si>
    <t>p_nc_l</t>
  </si>
  <si>
    <t>pencil</t>
  </si>
  <si>
    <t>[2.8226165999985824]</t>
  </si>
  <si>
    <t>bo_t_e</t>
  </si>
  <si>
    <t>bottle</t>
  </si>
  <si>
    <t>[2.8325986999989254]</t>
  </si>
  <si>
    <t>p_str_</t>
  </si>
  <si>
    <t>[3.514385200000106]</t>
  </si>
  <si>
    <t>_oo_</t>
  </si>
  <si>
    <t>door</t>
  </si>
  <si>
    <t>[2.4980770999973174]</t>
  </si>
  <si>
    <t>_ou_e</t>
  </si>
  <si>
    <t>house</t>
  </si>
  <si>
    <t>[np.float64(0.023125)]</t>
  </si>
  <si>
    <t>[2.395223799998348]</t>
  </si>
  <si>
    <t>c_m_ra</t>
  </si>
  <si>
    <t>camera</t>
  </si>
  <si>
    <t>[3.3281391999989864]</t>
  </si>
  <si>
    <t>v_s_</t>
  </si>
  <si>
    <t>vase</t>
  </si>
  <si>
    <t>[np.float64(0.025)]</t>
  </si>
  <si>
    <t>[np.float64(-0.304375)]</t>
  </si>
  <si>
    <t>[1.924735900000087]</t>
  </si>
  <si>
    <t>ta_l_</t>
  </si>
  <si>
    <t>[2.4469693999999436]</t>
  </si>
  <si>
    <t>_or_d</t>
  </si>
  <si>
    <t>bored</t>
  </si>
  <si>
    <t>[np.float64(0.02)]</t>
  </si>
  <si>
    <t>[np.float64(-0.306875)]</t>
  </si>
  <si>
    <t>[4.948470100000122]</t>
  </si>
  <si>
    <t>c_s_</t>
  </si>
  <si>
    <t>[2.0623782000002393]</t>
  </si>
  <si>
    <t>_ha_t</t>
  </si>
  <si>
    <t>chaat</t>
  </si>
  <si>
    <t>[25.62342980000176]</t>
  </si>
  <si>
    <t>t_hi_t</t>
  </si>
  <si>
    <t>tshirt</t>
  </si>
  <si>
    <t>[np.float64(-0.309375)]</t>
  </si>
  <si>
    <t>[3.596933999997418]</t>
  </si>
  <si>
    <t>Total number of primed word</t>
  </si>
  <si>
    <t>P(H)</t>
  </si>
  <si>
    <t>Proportion of hit form study list</t>
  </si>
  <si>
    <t xml:space="preserve">Proportion of hit form non-primedwords </t>
  </si>
  <si>
    <t>Hits</t>
  </si>
  <si>
    <t>Total number of non-primed word</t>
  </si>
  <si>
    <t xml:space="preserve">Priming score </t>
  </si>
  <si>
    <t>P(NP)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</si>
</sst>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33" borderId="0" xfId="0" applyFill="1"/>
    <xf numFmtId="0" fontId="0" fillId="34" borderId="0" xfId="0" applyFill="1"/>
    <xf numFmtId="0" fontId="14" fillId="35" borderId="0" xfId="0" applyFont="1" applyFill="1"/>
    <xf numFmtId="0" fontId="14" fillId="35" borderId="0" xfId="0" applyFont="1" applyFill="1" applyAlignment="1">
      <alignment wrapText="1"/>
    </xf>
    <xf numFmtId="0" fontId="16" fillId="0" borderId="0" xfId="0" applyFont="1"/>
    <xf numFmtId="0" fontId="14" fillId="33" borderId="0" xfId="0" applyFont="1" applyFill="1"/>
    <xf numFmtId="0" fontId="14" fillId="33" borderId="0" xfId="0" applyFont="1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7F803-50C1-4D66-8128-7B2DD8967713}">
  <dimension ref="A1:BA34"/>
  <sheetViews>
    <sheetView topLeftCell="A4" workbookViewId="0">
      <selection activeCell="F17" sqref="F17:H34"/>
    </sheetView>
  </sheetViews>
  <sheetFormatPr defaultRowHeight="14.5" x14ac:dyDescent="0.35"/>
  <cols>
    <col min="7" max="7" width="16.26953125" customWidth="1"/>
    <col min="8" max="8" width="17.81640625" customWidth="1"/>
    <col min="13" max="13" width="15" customWidth="1"/>
    <col min="14" max="14" width="17.1796875" customWidth="1"/>
    <col min="24" max="24" width="19.26953125" customWidth="1"/>
  </cols>
  <sheetData>
    <row r="1" spans="1:5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35">
      <c r="A2" t="s">
        <v>53</v>
      </c>
      <c r="B2">
        <v>0</v>
      </c>
      <c r="C2">
        <v>0</v>
      </c>
      <c r="D2">
        <v>0</v>
      </c>
      <c r="E2">
        <v>1.0149999999999999</v>
      </c>
      <c r="F2">
        <v>4.81816759999856</v>
      </c>
      <c r="P2">
        <v>0</v>
      </c>
      <c r="Q2">
        <v>0</v>
      </c>
      <c r="R2">
        <v>0</v>
      </c>
      <c r="S2">
        <v>0</v>
      </c>
      <c r="X2">
        <v>2.6873400001932099E-2</v>
      </c>
      <c r="Z2">
        <v>2.0813700000871901E-2</v>
      </c>
      <c r="AA2">
        <v>2.6873400001932099E-2</v>
      </c>
      <c r="AB2">
        <v>2.6873400001932099E-2</v>
      </c>
      <c r="AC2">
        <v>4.8435075000015697</v>
      </c>
      <c r="AD2">
        <v>1.0149999999999999</v>
      </c>
      <c r="AE2">
        <v>4.81816759999856</v>
      </c>
      <c r="AT2">
        <v>2</v>
      </c>
      <c r="AU2">
        <v>1</v>
      </c>
      <c r="AV2" t="s">
        <v>54</v>
      </c>
      <c r="AW2" t="s">
        <v>55</v>
      </c>
      <c r="AY2" t="s">
        <v>56</v>
      </c>
      <c r="AZ2">
        <v>163.934694972888</v>
      </c>
      <c r="BA2" t="s">
        <v>57</v>
      </c>
    </row>
    <row r="3" spans="1:53" x14ac:dyDescent="0.35">
      <c r="A3" t="s">
        <v>58</v>
      </c>
      <c r="B3">
        <v>1</v>
      </c>
      <c r="C3">
        <v>1</v>
      </c>
      <c r="D3">
        <v>0</v>
      </c>
      <c r="E3">
        <v>1</v>
      </c>
      <c r="F3">
        <v>1.5136329000015301</v>
      </c>
      <c r="P3">
        <v>0</v>
      </c>
      <c r="Q3">
        <v>1</v>
      </c>
      <c r="R3">
        <v>1</v>
      </c>
      <c r="S3">
        <v>7</v>
      </c>
      <c r="X3">
        <v>4.8511518000013796</v>
      </c>
      <c r="Z3">
        <v>4.8470343000008098</v>
      </c>
      <c r="AA3">
        <v>4.8511518000013796</v>
      </c>
      <c r="AB3">
        <v>4.8511518000013796</v>
      </c>
      <c r="AC3">
        <v>6.3657129999992303</v>
      </c>
      <c r="AD3">
        <v>1</v>
      </c>
      <c r="AE3">
        <v>1.5136329000015301</v>
      </c>
      <c r="AT3">
        <v>2</v>
      </c>
      <c r="AU3">
        <v>1</v>
      </c>
      <c r="AV3" t="s">
        <v>54</v>
      </c>
      <c r="AW3" t="s">
        <v>55</v>
      </c>
      <c r="AY3" t="s">
        <v>56</v>
      </c>
      <c r="AZ3">
        <v>163.934694972888</v>
      </c>
      <c r="BA3" t="s">
        <v>57</v>
      </c>
    </row>
    <row r="4" spans="1:53" x14ac:dyDescent="0.35">
      <c r="A4" t="s">
        <v>59</v>
      </c>
      <c r="B4">
        <v>2</v>
      </c>
      <c r="C4">
        <v>2</v>
      </c>
      <c r="D4">
        <v>0</v>
      </c>
      <c r="E4">
        <v>1</v>
      </c>
      <c r="F4">
        <v>1.11291739999796</v>
      </c>
      <c r="P4">
        <v>0</v>
      </c>
      <c r="Q4">
        <v>2</v>
      </c>
      <c r="R4">
        <v>2</v>
      </c>
      <c r="S4">
        <v>1</v>
      </c>
      <c r="X4">
        <v>6.3727428000020101</v>
      </c>
      <c r="Z4">
        <v>6.3683645999990404</v>
      </c>
      <c r="AA4">
        <v>6.3727428000020101</v>
      </c>
      <c r="AB4">
        <v>6.3727428000020101</v>
      </c>
      <c r="AC4">
        <v>7.4864419000005</v>
      </c>
      <c r="AD4">
        <v>1</v>
      </c>
      <c r="AE4">
        <v>1.11291739999796</v>
      </c>
      <c r="AT4">
        <v>2</v>
      </c>
      <c r="AU4">
        <v>1</v>
      </c>
      <c r="AV4" t="s">
        <v>54</v>
      </c>
      <c r="AW4" t="s">
        <v>55</v>
      </c>
      <c r="AY4" t="s">
        <v>56</v>
      </c>
      <c r="AZ4">
        <v>163.934694972888</v>
      </c>
      <c r="BA4" t="s">
        <v>57</v>
      </c>
    </row>
    <row r="5" spans="1:53" x14ac:dyDescent="0.35">
      <c r="A5" t="s">
        <v>60</v>
      </c>
      <c r="B5">
        <v>3</v>
      </c>
      <c r="C5">
        <v>3</v>
      </c>
      <c r="D5">
        <v>0</v>
      </c>
      <c r="E5">
        <v>2.0125000000000002</v>
      </c>
      <c r="F5">
        <v>3.4513554999975802</v>
      </c>
      <c r="P5">
        <v>0</v>
      </c>
      <c r="Q5">
        <v>3</v>
      </c>
      <c r="R5">
        <v>3</v>
      </c>
      <c r="S5">
        <v>14</v>
      </c>
      <c r="X5">
        <v>7.4959302000024701</v>
      </c>
      <c r="Z5">
        <v>7.4917755999995199</v>
      </c>
      <c r="AA5">
        <v>7.4959302000024701</v>
      </c>
      <c r="AB5">
        <v>7.4959302000024701</v>
      </c>
      <c r="AC5">
        <v>10.948016300000701</v>
      </c>
      <c r="AD5">
        <v>2.0125000000000002</v>
      </c>
      <c r="AE5">
        <v>3.4513554999975802</v>
      </c>
      <c r="AT5">
        <v>2</v>
      </c>
      <c r="AU5">
        <v>1</v>
      </c>
      <c r="AV5" t="s">
        <v>54</v>
      </c>
      <c r="AW5" t="s">
        <v>55</v>
      </c>
      <c r="AY5" t="s">
        <v>56</v>
      </c>
      <c r="AZ5">
        <v>163.934694972888</v>
      </c>
      <c r="BA5" t="s">
        <v>57</v>
      </c>
    </row>
    <row r="6" spans="1:53" x14ac:dyDescent="0.35">
      <c r="A6" t="s">
        <v>61</v>
      </c>
      <c r="B6">
        <v>4</v>
      </c>
      <c r="C6">
        <v>4</v>
      </c>
      <c r="D6">
        <v>0</v>
      </c>
      <c r="E6">
        <v>1.0249999999999999</v>
      </c>
      <c r="F6">
        <v>1.3622461000013499</v>
      </c>
      <c r="P6">
        <v>0</v>
      </c>
      <c r="Q6">
        <v>4</v>
      </c>
      <c r="R6">
        <v>4</v>
      </c>
      <c r="S6">
        <v>10</v>
      </c>
      <c r="X6">
        <v>10.9563689999995</v>
      </c>
      <c r="Z6">
        <v>10.9516034000007</v>
      </c>
      <c r="AA6">
        <v>10.9563689999995</v>
      </c>
      <c r="AB6">
        <v>10.9563689999995</v>
      </c>
      <c r="AC6">
        <v>12.318359900000299</v>
      </c>
      <c r="AD6">
        <v>1.0249999999999999</v>
      </c>
      <c r="AE6">
        <v>1.3622461000013499</v>
      </c>
      <c r="AT6">
        <v>2</v>
      </c>
      <c r="AU6">
        <v>1</v>
      </c>
      <c r="AV6" t="s">
        <v>54</v>
      </c>
      <c r="AW6" t="s">
        <v>55</v>
      </c>
      <c r="AY6" t="s">
        <v>56</v>
      </c>
      <c r="AZ6">
        <v>163.934694972888</v>
      </c>
      <c r="BA6" t="s">
        <v>57</v>
      </c>
    </row>
    <row r="7" spans="1:53" x14ac:dyDescent="0.35">
      <c r="A7" t="s">
        <v>62</v>
      </c>
      <c r="B7">
        <v>5</v>
      </c>
      <c r="C7">
        <v>5</v>
      </c>
      <c r="D7">
        <v>0</v>
      </c>
      <c r="E7">
        <v>1.01</v>
      </c>
      <c r="F7">
        <v>0.69304869999905305</v>
      </c>
      <c r="P7">
        <v>0</v>
      </c>
      <c r="Q7">
        <v>5</v>
      </c>
      <c r="R7">
        <v>5</v>
      </c>
      <c r="S7">
        <v>5</v>
      </c>
      <c r="X7">
        <v>12.324691100002299</v>
      </c>
      <c r="Z7">
        <v>12.3199659000019</v>
      </c>
      <c r="AA7">
        <v>12.324691100002299</v>
      </c>
      <c r="AB7">
        <v>12.324691100002299</v>
      </c>
      <c r="AC7">
        <v>13.017742600000901</v>
      </c>
      <c r="AD7">
        <v>1.01</v>
      </c>
      <c r="AE7">
        <v>0.69304869999905305</v>
      </c>
      <c r="AT7">
        <v>2</v>
      </c>
      <c r="AU7">
        <v>1</v>
      </c>
      <c r="AV7" t="s">
        <v>54</v>
      </c>
      <c r="AW7" t="s">
        <v>55</v>
      </c>
      <c r="AY7" t="s">
        <v>56</v>
      </c>
      <c r="AZ7">
        <v>163.934694972888</v>
      </c>
      <c r="BA7" t="s">
        <v>57</v>
      </c>
    </row>
    <row r="8" spans="1:53" x14ac:dyDescent="0.35">
      <c r="A8" t="s">
        <v>63</v>
      </c>
      <c r="B8">
        <v>6</v>
      </c>
      <c r="C8">
        <v>6</v>
      </c>
      <c r="D8">
        <v>0</v>
      </c>
      <c r="E8">
        <v>1.01</v>
      </c>
      <c r="F8">
        <v>1.1569433000004199</v>
      </c>
      <c r="P8">
        <v>0</v>
      </c>
      <c r="Q8">
        <v>6</v>
      </c>
      <c r="R8">
        <v>6</v>
      </c>
      <c r="S8">
        <v>11</v>
      </c>
      <c r="X8">
        <v>13.023621600001199</v>
      </c>
      <c r="Z8">
        <v>13.018879099999999</v>
      </c>
      <c r="AA8">
        <v>13.023621600001199</v>
      </c>
      <c r="AB8">
        <v>13.023621600001199</v>
      </c>
      <c r="AC8">
        <v>14.1817957999992</v>
      </c>
      <c r="AD8">
        <v>1.01</v>
      </c>
      <c r="AE8">
        <v>1.1569433000004199</v>
      </c>
      <c r="AT8">
        <v>2</v>
      </c>
      <c r="AU8">
        <v>1</v>
      </c>
      <c r="AV8" t="s">
        <v>54</v>
      </c>
      <c r="AW8" t="s">
        <v>55</v>
      </c>
      <c r="AY8" t="s">
        <v>56</v>
      </c>
      <c r="AZ8">
        <v>163.934694972888</v>
      </c>
      <c r="BA8" t="s">
        <v>57</v>
      </c>
    </row>
    <row r="9" spans="1:53" x14ac:dyDescent="0.35">
      <c r="A9" t="s">
        <v>64</v>
      </c>
      <c r="B9">
        <v>7</v>
      </c>
      <c r="C9">
        <v>7</v>
      </c>
      <c r="D9">
        <v>0</v>
      </c>
      <c r="E9">
        <v>1.01</v>
      </c>
      <c r="F9">
        <v>1.79234549999819</v>
      </c>
      <c r="P9">
        <v>0</v>
      </c>
      <c r="Q9">
        <v>7</v>
      </c>
      <c r="R9">
        <v>7</v>
      </c>
      <c r="S9">
        <v>4</v>
      </c>
      <c r="X9">
        <v>14.188340600001499</v>
      </c>
      <c r="Z9">
        <v>14.1843485999997</v>
      </c>
      <c r="AA9">
        <v>14.188340600001499</v>
      </c>
      <c r="AB9">
        <v>14.188340600001499</v>
      </c>
      <c r="AC9">
        <v>15.9818512000019</v>
      </c>
      <c r="AD9">
        <v>1.01</v>
      </c>
      <c r="AE9">
        <v>1.79234549999819</v>
      </c>
      <c r="AT9">
        <v>2</v>
      </c>
      <c r="AU9">
        <v>1</v>
      </c>
      <c r="AV9" t="s">
        <v>54</v>
      </c>
      <c r="AW9" t="s">
        <v>55</v>
      </c>
      <c r="AY9" t="s">
        <v>56</v>
      </c>
      <c r="AZ9">
        <v>163.934694972888</v>
      </c>
      <c r="BA9" t="s">
        <v>57</v>
      </c>
    </row>
    <row r="10" spans="1:53" x14ac:dyDescent="0.35">
      <c r="A10" t="s">
        <v>65</v>
      </c>
      <c r="B10">
        <v>8</v>
      </c>
      <c r="C10">
        <v>8</v>
      </c>
      <c r="D10">
        <v>0</v>
      </c>
      <c r="E10">
        <v>1.01</v>
      </c>
      <c r="F10">
        <v>0.99846009999964702</v>
      </c>
      <c r="P10">
        <v>0</v>
      </c>
      <c r="Q10">
        <v>8</v>
      </c>
      <c r="R10">
        <v>8</v>
      </c>
      <c r="S10">
        <v>9</v>
      </c>
      <c r="X10">
        <v>15.987337400001699</v>
      </c>
      <c r="Z10">
        <v>15.983124800000899</v>
      </c>
      <c r="AA10">
        <v>15.987337400001699</v>
      </c>
      <c r="AB10">
        <v>15.987337400001699</v>
      </c>
      <c r="AC10">
        <v>16.987260800000499</v>
      </c>
      <c r="AD10">
        <v>1.01</v>
      </c>
      <c r="AE10">
        <v>0.99846009999964702</v>
      </c>
      <c r="AT10">
        <v>2</v>
      </c>
      <c r="AU10">
        <v>1</v>
      </c>
      <c r="AV10" t="s">
        <v>54</v>
      </c>
      <c r="AW10" t="s">
        <v>55</v>
      </c>
      <c r="AY10" t="s">
        <v>56</v>
      </c>
      <c r="AZ10">
        <v>163.934694972888</v>
      </c>
      <c r="BA10" t="s">
        <v>57</v>
      </c>
    </row>
    <row r="11" spans="1:53" x14ac:dyDescent="0.35">
      <c r="A11" t="s">
        <v>66</v>
      </c>
      <c r="B11">
        <v>9</v>
      </c>
      <c r="C11">
        <v>9</v>
      </c>
      <c r="D11">
        <v>0</v>
      </c>
      <c r="E11">
        <v>1.01</v>
      </c>
      <c r="F11">
        <v>1.3980788000008</v>
      </c>
      <c r="P11">
        <v>0</v>
      </c>
      <c r="Q11">
        <v>9</v>
      </c>
      <c r="R11">
        <v>9</v>
      </c>
      <c r="S11">
        <v>8</v>
      </c>
      <c r="X11">
        <v>16.993535900001</v>
      </c>
      <c r="Z11">
        <v>16.989191700002198</v>
      </c>
      <c r="AA11">
        <v>16.993535900001</v>
      </c>
      <c r="AB11">
        <v>16.993535900001</v>
      </c>
      <c r="AC11">
        <v>18.3929869000021</v>
      </c>
      <c r="AD11">
        <v>1.01</v>
      </c>
      <c r="AE11">
        <v>1.3980788000008</v>
      </c>
      <c r="AT11">
        <v>2</v>
      </c>
      <c r="AU11">
        <v>1</v>
      </c>
      <c r="AV11" t="s">
        <v>54</v>
      </c>
      <c r="AW11" t="s">
        <v>55</v>
      </c>
      <c r="AY11" t="s">
        <v>56</v>
      </c>
      <c r="AZ11">
        <v>163.934694972888</v>
      </c>
      <c r="BA11" t="s">
        <v>57</v>
      </c>
    </row>
    <row r="12" spans="1:53" x14ac:dyDescent="0.35">
      <c r="A12" t="s">
        <v>67</v>
      </c>
      <c r="B12">
        <v>10</v>
      </c>
      <c r="C12">
        <v>10</v>
      </c>
      <c r="D12">
        <v>0</v>
      </c>
      <c r="E12">
        <v>1.01</v>
      </c>
      <c r="F12">
        <v>0.68624750000162704</v>
      </c>
      <c r="P12">
        <v>0</v>
      </c>
      <c r="Q12">
        <v>10</v>
      </c>
      <c r="R12">
        <v>10</v>
      </c>
      <c r="S12">
        <v>13</v>
      </c>
      <c r="X12">
        <v>18.399009500000801</v>
      </c>
      <c r="Z12">
        <v>18.394508199999098</v>
      </c>
      <c r="AA12">
        <v>18.399009500000801</v>
      </c>
      <c r="AB12">
        <v>18.399009500000801</v>
      </c>
      <c r="AC12">
        <v>19.085007600002399</v>
      </c>
      <c r="AD12">
        <v>1.01</v>
      </c>
      <c r="AE12">
        <v>0.68624750000162704</v>
      </c>
      <c r="AT12">
        <v>2</v>
      </c>
      <c r="AU12">
        <v>1</v>
      </c>
      <c r="AV12" t="s">
        <v>54</v>
      </c>
      <c r="AW12" t="s">
        <v>55</v>
      </c>
      <c r="AY12" t="s">
        <v>56</v>
      </c>
      <c r="AZ12">
        <v>163.934694972888</v>
      </c>
      <c r="BA12" t="s">
        <v>57</v>
      </c>
    </row>
    <row r="13" spans="1:53" x14ac:dyDescent="0.35">
      <c r="A13" t="s">
        <v>68</v>
      </c>
      <c r="B13">
        <v>11</v>
      </c>
      <c r="C13">
        <v>11</v>
      </c>
      <c r="D13">
        <v>0</v>
      </c>
      <c r="E13">
        <v>1.01</v>
      </c>
      <c r="F13">
        <v>0.75811749999775202</v>
      </c>
      <c r="P13">
        <v>0</v>
      </c>
      <c r="Q13">
        <v>11</v>
      </c>
      <c r="R13">
        <v>11</v>
      </c>
      <c r="S13">
        <v>2</v>
      </c>
      <c r="X13">
        <v>19.090372800001202</v>
      </c>
      <c r="Z13">
        <v>19.086214499999102</v>
      </c>
      <c r="AA13">
        <v>19.090372800001202</v>
      </c>
      <c r="AB13">
        <v>19.090372800001202</v>
      </c>
      <c r="AC13">
        <v>19.8496223000001</v>
      </c>
      <c r="AD13">
        <v>1.01</v>
      </c>
      <c r="AE13">
        <v>0.75811749999775202</v>
      </c>
      <c r="AT13">
        <v>2</v>
      </c>
      <c r="AU13">
        <v>1</v>
      </c>
      <c r="AV13" t="s">
        <v>54</v>
      </c>
      <c r="AW13" t="s">
        <v>55</v>
      </c>
      <c r="AY13" t="s">
        <v>56</v>
      </c>
      <c r="AZ13">
        <v>163.934694972888</v>
      </c>
      <c r="BA13" t="s">
        <v>57</v>
      </c>
    </row>
    <row r="14" spans="1:53" x14ac:dyDescent="0.35">
      <c r="A14" t="s">
        <v>69</v>
      </c>
      <c r="B14">
        <v>12</v>
      </c>
      <c r="C14">
        <v>12</v>
      </c>
      <c r="D14">
        <v>0</v>
      </c>
      <c r="E14">
        <v>1.01</v>
      </c>
      <c r="F14">
        <v>0.80923860000257197</v>
      </c>
      <c r="P14">
        <v>0</v>
      </c>
      <c r="Q14">
        <v>12</v>
      </c>
      <c r="R14">
        <v>12</v>
      </c>
      <c r="S14">
        <v>6</v>
      </c>
      <c r="X14">
        <v>19.855801600002401</v>
      </c>
      <c r="Z14">
        <v>19.851319900000799</v>
      </c>
      <c r="AA14">
        <v>19.855801600002401</v>
      </c>
      <c r="AB14">
        <v>19.855801600002401</v>
      </c>
      <c r="AC14">
        <v>20.665485900000899</v>
      </c>
      <c r="AD14">
        <v>1.01</v>
      </c>
      <c r="AE14">
        <v>0.80923860000257197</v>
      </c>
      <c r="AT14">
        <v>2</v>
      </c>
      <c r="AU14">
        <v>1</v>
      </c>
      <c r="AV14" t="s">
        <v>54</v>
      </c>
      <c r="AW14" t="s">
        <v>55</v>
      </c>
      <c r="AY14" t="s">
        <v>56</v>
      </c>
      <c r="AZ14">
        <v>163.934694972888</v>
      </c>
      <c r="BA14" t="s">
        <v>57</v>
      </c>
    </row>
    <row r="15" spans="1:53" x14ac:dyDescent="0.35">
      <c r="A15" t="s">
        <v>70</v>
      </c>
      <c r="B15">
        <v>13</v>
      </c>
      <c r="C15">
        <v>13</v>
      </c>
      <c r="D15">
        <v>0</v>
      </c>
      <c r="E15">
        <v>1.01</v>
      </c>
      <c r="F15">
        <v>1.04154159999961</v>
      </c>
      <c r="P15">
        <v>0</v>
      </c>
      <c r="Q15">
        <v>13</v>
      </c>
      <c r="R15">
        <v>13</v>
      </c>
      <c r="S15">
        <v>3</v>
      </c>
      <c r="X15">
        <v>20.671764700000399</v>
      </c>
      <c r="Z15">
        <v>20.6667406000015</v>
      </c>
      <c r="AA15">
        <v>20.671764700000399</v>
      </c>
      <c r="AB15">
        <v>20.671764700000399</v>
      </c>
      <c r="AC15">
        <v>21.714214499999699</v>
      </c>
      <c r="AD15">
        <v>1.01</v>
      </c>
      <c r="AE15">
        <v>1.04154159999961</v>
      </c>
      <c r="AT15">
        <v>2</v>
      </c>
      <c r="AU15">
        <v>1</v>
      </c>
      <c r="AV15" t="s">
        <v>54</v>
      </c>
      <c r="AW15" t="s">
        <v>55</v>
      </c>
      <c r="AY15" t="s">
        <v>56</v>
      </c>
      <c r="AZ15">
        <v>163.934694972888</v>
      </c>
      <c r="BA15" t="s">
        <v>57</v>
      </c>
    </row>
    <row r="16" spans="1:53" x14ac:dyDescent="0.35">
      <c r="A16" t="s">
        <v>71</v>
      </c>
      <c r="B16">
        <v>14</v>
      </c>
      <c r="C16">
        <v>14</v>
      </c>
      <c r="D16">
        <v>0</v>
      </c>
      <c r="E16">
        <v>1.01</v>
      </c>
      <c r="F16">
        <v>1.1322282000000901</v>
      </c>
      <c r="P16">
        <v>0</v>
      </c>
      <c r="Q16">
        <v>14</v>
      </c>
      <c r="R16">
        <v>14</v>
      </c>
      <c r="S16">
        <v>12</v>
      </c>
      <c r="X16">
        <v>21.7201189000006</v>
      </c>
      <c r="Z16">
        <v>21.715933899999001</v>
      </c>
      <c r="AA16">
        <v>21.7201189000006</v>
      </c>
      <c r="AB16">
        <v>21.7201189000006</v>
      </c>
      <c r="AC16">
        <v>22.852834600002002</v>
      </c>
      <c r="AD16">
        <v>1.01</v>
      </c>
      <c r="AE16">
        <v>1.1322282000000901</v>
      </c>
      <c r="AT16">
        <v>2</v>
      </c>
      <c r="AU16">
        <v>1</v>
      </c>
      <c r="AV16" t="s">
        <v>54</v>
      </c>
      <c r="AW16" t="s">
        <v>55</v>
      </c>
      <c r="AY16" t="s">
        <v>56</v>
      </c>
      <c r="AZ16">
        <v>163.934694972888</v>
      </c>
      <c r="BA16" t="s">
        <v>57</v>
      </c>
    </row>
    <row r="17" spans="2:53" ht="29" x14ac:dyDescent="0.35">
      <c r="B17">
        <v>0</v>
      </c>
      <c r="C17">
        <v>0</v>
      </c>
      <c r="D17">
        <v>0</v>
      </c>
      <c r="G17" t="s">
        <v>72</v>
      </c>
      <c r="H17" s="1" t="s">
        <v>73</v>
      </c>
      <c r="I17" t="s">
        <v>74</v>
      </c>
      <c r="J17" t="s">
        <v>75</v>
      </c>
      <c r="K17" t="s">
        <v>76</v>
      </c>
      <c r="L17" t="s">
        <v>77</v>
      </c>
      <c r="M17" t="s">
        <v>77</v>
      </c>
      <c r="N17" t="s">
        <v>78</v>
      </c>
      <c r="O17" t="s">
        <v>79</v>
      </c>
      <c r="T17">
        <v>0</v>
      </c>
      <c r="U17">
        <v>0</v>
      </c>
      <c r="V17">
        <v>0</v>
      </c>
      <c r="W17">
        <v>6</v>
      </c>
      <c r="X17">
        <v>22.8630148000011</v>
      </c>
      <c r="AF17">
        <v>22.8582150000002</v>
      </c>
      <c r="AG17">
        <v>22.8630148000011</v>
      </c>
      <c r="AH17">
        <v>22.8630148000011</v>
      </c>
      <c r="AI17">
        <v>22.8630148000011</v>
      </c>
      <c r="AJ17">
        <v>5.3761000017402598E-3</v>
      </c>
      <c r="AK17">
        <v>44.536271100001599</v>
      </c>
      <c r="AL17" s="1" t="s">
        <v>73</v>
      </c>
      <c r="AM17" t="s">
        <v>74</v>
      </c>
      <c r="AN17" t="s">
        <v>75</v>
      </c>
      <c r="AO17" t="s">
        <v>76</v>
      </c>
      <c r="AP17" t="s">
        <v>77</v>
      </c>
      <c r="AQ17" t="s">
        <v>77</v>
      </c>
      <c r="AR17" t="s">
        <v>78</v>
      </c>
      <c r="AS17" t="s">
        <v>79</v>
      </c>
      <c r="AT17">
        <v>2</v>
      </c>
      <c r="AU17">
        <v>1</v>
      </c>
      <c r="AV17" t="s">
        <v>54</v>
      </c>
      <c r="AW17" t="s">
        <v>55</v>
      </c>
      <c r="AY17" t="s">
        <v>56</v>
      </c>
      <c r="AZ17">
        <v>163.934694972888</v>
      </c>
      <c r="BA17" t="s">
        <v>57</v>
      </c>
    </row>
    <row r="18" spans="2:53" ht="29" x14ac:dyDescent="0.35">
      <c r="B18">
        <v>1</v>
      </c>
      <c r="C18">
        <v>1</v>
      </c>
      <c r="D18">
        <v>0</v>
      </c>
      <c r="G18" t="s">
        <v>80</v>
      </c>
      <c r="H18" s="1" t="s">
        <v>81</v>
      </c>
      <c r="I18" t="s">
        <v>82</v>
      </c>
      <c r="J18" t="s">
        <v>83</v>
      </c>
      <c r="K18" t="s">
        <v>76</v>
      </c>
      <c r="L18" t="s">
        <v>77</v>
      </c>
      <c r="M18" t="s">
        <v>77</v>
      </c>
      <c r="N18" t="s">
        <v>84</v>
      </c>
      <c r="O18" t="s">
        <v>79</v>
      </c>
      <c r="T18">
        <v>0</v>
      </c>
      <c r="U18">
        <v>1</v>
      </c>
      <c r="V18">
        <v>1</v>
      </c>
      <c r="W18">
        <v>7</v>
      </c>
      <c r="X18">
        <v>44.542838900000703</v>
      </c>
      <c r="AF18">
        <v>44.538006000002497</v>
      </c>
      <c r="AG18">
        <v>44.542838900000703</v>
      </c>
      <c r="AH18">
        <v>44.542838900000703</v>
      </c>
      <c r="AI18">
        <v>44.542838900000703</v>
      </c>
      <c r="AJ18">
        <v>1.6526999970665199E-3</v>
      </c>
      <c r="AK18">
        <v>58.133993499999598</v>
      </c>
      <c r="AL18" s="1" t="s">
        <v>81</v>
      </c>
      <c r="AM18" t="s">
        <v>82</v>
      </c>
      <c r="AN18" t="s">
        <v>83</v>
      </c>
      <c r="AO18" t="s">
        <v>76</v>
      </c>
      <c r="AP18" t="s">
        <v>77</v>
      </c>
      <c r="AQ18" t="s">
        <v>77</v>
      </c>
      <c r="AR18" t="s">
        <v>84</v>
      </c>
      <c r="AS18" t="s">
        <v>79</v>
      </c>
      <c r="AT18">
        <v>2</v>
      </c>
      <c r="AU18">
        <v>1</v>
      </c>
      <c r="AV18" t="s">
        <v>54</v>
      </c>
      <c r="AW18" t="s">
        <v>55</v>
      </c>
      <c r="AY18" t="s">
        <v>56</v>
      </c>
      <c r="AZ18">
        <v>163.934694972888</v>
      </c>
      <c r="BA18" t="s">
        <v>57</v>
      </c>
    </row>
    <row r="19" spans="2:53" x14ac:dyDescent="0.35">
      <c r="B19">
        <v>2</v>
      </c>
      <c r="C19">
        <v>2</v>
      </c>
      <c r="D19">
        <v>0</v>
      </c>
      <c r="G19" t="s">
        <v>85</v>
      </c>
      <c r="H19" t="s">
        <v>59</v>
      </c>
      <c r="I19" t="s">
        <v>82</v>
      </c>
      <c r="J19" t="s">
        <v>83</v>
      </c>
      <c r="K19" t="s">
        <v>76</v>
      </c>
      <c r="L19" t="s">
        <v>77</v>
      </c>
      <c r="M19" t="s">
        <v>77</v>
      </c>
      <c r="N19" t="s">
        <v>86</v>
      </c>
      <c r="O19" t="s">
        <v>79</v>
      </c>
      <c r="T19">
        <v>0</v>
      </c>
      <c r="U19">
        <v>2</v>
      </c>
      <c r="V19">
        <v>2</v>
      </c>
      <c r="W19">
        <v>12</v>
      </c>
      <c r="X19">
        <v>58.143465000001001</v>
      </c>
      <c r="AF19">
        <v>58.137349799999299</v>
      </c>
      <c r="AG19">
        <v>58.143465000001001</v>
      </c>
      <c r="AH19">
        <v>58.143465000001001</v>
      </c>
      <c r="AI19">
        <v>58.143465000001001</v>
      </c>
      <c r="AJ19">
        <v>3.2677000017429202E-3</v>
      </c>
      <c r="AK19">
        <v>68.115640700001606</v>
      </c>
      <c r="AL19" t="s">
        <v>59</v>
      </c>
      <c r="AM19" t="s">
        <v>82</v>
      </c>
      <c r="AN19" t="s">
        <v>83</v>
      </c>
      <c r="AO19" t="s">
        <v>76</v>
      </c>
      <c r="AP19" t="s">
        <v>77</v>
      </c>
      <c r="AQ19" t="s">
        <v>77</v>
      </c>
      <c r="AR19" t="s">
        <v>86</v>
      </c>
      <c r="AS19" t="s">
        <v>79</v>
      </c>
      <c r="AT19">
        <v>2</v>
      </c>
      <c r="AU19">
        <v>1</v>
      </c>
      <c r="AV19" t="s">
        <v>54</v>
      </c>
      <c r="AW19" t="s">
        <v>55</v>
      </c>
      <c r="AY19" t="s">
        <v>56</v>
      </c>
      <c r="AZ19">
        <v>163.934694972888</v>
      </c>
      <c r="BA19" t="s">
        <v>57</v>
      </c>
    </row>
    <row r="20" spans="2:53" x14ac:dyDescent="0.35">
      <c r="B20">
        <v>3</v>
      </c>
      <c r="C20">
        <v>3</v>
      </c>
      <c r="D20">
        <v>0</v>
      </c>
      <c r="G20" t="s">
        <v>87</v>
      </c>
      <c r="H20" t="s">
        <v>88</v>
      </c>
      <c r="I20" t="s">
        <v>89</v>
      </c>
      <c r="J20" t="s">
        <v>90</v>
      </c>
      <c r="K20" t="s">
        <v>91</v>
      </c>
      <c r="L20" t="s">
        <v>92</v>
      </c>
      <c r="M20" t="s">
        <v>92</v>
      </c>
      <c r="N20" t="s">
        <v>93</v>
      </c>
      <c r="O20" t="s">
        <v>94</v>
      </c>
      <c r="T20">
        <v>0</v>
      </c>
      <c r="U20">
        <v>3</v>
      </c>
      <c r="V20">
        <v>3</v>
      </c>
      <c r="W20">
        <v>9</v>
      </c>
      <c r="X20">
        <v>68.123904700001702</v>
      </c>
      <c r="AF20">
        <v>68.117799899999198</v>
      </c>
      <c r="AG20">
        <v>68.123904700001702</v>
      </c>
      <c r="AH20">
        <v>68.123904700001702</v>
      </c>
      <c r="AI20">
        <v>68.123904700001702</v>
      </c>
      <c r="AJ20">
        <v>2.0858999996562402E-3</v>
      </c>
      <c r="AK20">
        <v>72.513300500002501</v>
      </c>
      <c r="AL20" t="s">
        <v>88</v>
      </c>
      <c r="AM20" t="s">
        <v>89</v>
      </c>
      <c r="AN20" t="s">
        <v>90</v>
      </c>
      <c r="AO20" t="s">
        <v>91</v>
      </c>
      <c r="AP20" t="s">
        <v>92</v>
      </c>
      <c r="AQ20" t="s">
        <v>92</v>
      </c>
      <c r="AR20" t="s">
        <v>93</v>
      </c>
      <c r="AS20" t="s">
        <v>94</v>
      </c>
      <c r="AT20">
        <v>2</v>
      </c>
      <c r="AU20">
        <v>1</v>
      </c>
      <c r="AV20" t="s">
        <v>54</v>
      </c>
      <c r="AW20" t="s">
        <v>55</v>
      </c>
      <c r="AY20" t="s">
        <v>56</v>
      </c>
      <c r="AZ20">
        <v>163.934694972888</v>
      </c>
      <c r="BA20" t="s">
        <v>57</v>
      </c>
    </row>
    <row r="21" spans="2:53" x14ac:dyDescent="0.35">
      <c r="B21">
        <v>4</v>
      </c>
      <c r="C21">
        <v>4</v>
      </c>
      <c r="D21">
        <v>0</v>
      </c>
      <c r="G21" t="s">
        <v>95</v>
      </c>
      <c r="H21" t="s">
        <v>96</v>
      </c>
      <c r="I21" t="s">
        <v>97</v>
      </c>
      <c r="J21" t="s">
        <v>98</v>
      </c>
      <c r="K21" t="s">
        <v>76</v>
      </c>
      <c r="L21" t="s">
        <v>77</v>
      </c>
      <c r="M21" t="s">
        <v>77</v>
      </c>
      <c r="N21" t="s">
        <v>99</v>
      </c>
      <c r="O21" t="s">
        <v>79</v>
      </c>
      <c r="T21">
        <v>0</v>
      </c>
      <c r="U21">
        <v>4</v>
      </c>
      <c r="V21">
        <v>4</v>
      </c>
      <c r="W21">
        <v>10</v>
      </c>
      <c r="X21">
        <v>72.524733000002001</v>
      </c>
      <c r="AF21">
        <v>72.516410200001701</v>
      </c>
      <c r="AG21">
        <v>72.524733000002001</v>
      </c>
      <c r="AH21">
        <v>72.524733000002001</v>
      </c>
      <c r="AI21">
        <v>72.524733000002001</v>
      </c>
      <c r="AJ21">
        <v>2.9663999994227102E-3</v>
      </c>
      <c r="AK21">
        <v>97.428571299999007</v>
      </c>
      <c r="AL21" t="s">
        <v>96</v>
      </c>
      <c r="AM21" t="s">
        <v>97</v>
      </c>
      <c r="AN21" t="s">
        <v>98</v>
      </c>
      <c r="AO21" t="s">
        <v>76</v>
      </c>
      <c r="AP21" t="s">
        <v>77</v>
      </c>
      <c r="AQ21" t="s">
        <v>77</v>
      </c>
      <c r="AR21" t="s">
        <v>99</v>
      </c>
      <c r="AS21" t="s">
        <v>79</v>
      </c>
      <c r="AT21">
        <v>2</v>
      </c>
      <c r="AU21">
        <v>1</v>
      </c>
      <c r="AV21" t="s">
        <v>54</v>
      </c>
      <c r="AW21" t="s">
        <v>55</v>
      </c>
      <c r="AY21" t="s">
        <v>56</v>
      </c>
      <c r="AZ21">
        <v>163.934694972888</v>
      </c>
      <c r="BA21" t="s">
        <v>57</v>
      </c>
    </row>
    <row r="22" spans="2:53" x14ac:dyDescent="0.35">
      <c r="B22">
        <v>5</v>
      </c>
      <c r="C22">
        <v>5</v>
      </c>
      <c r="D22">
        <v>0</v>
      </c>
      <c r="G22" t="s">
        <v>100</v>
      </c>
      <c r="H22" t="s">
        <v>62</v>
      </c>
      <c r="I22" t="s">
        <v>97</v>
      </c>
      <c r="J22" t="s">
        <v>98</v>
      </c>
      <c r="K22" t="s">
        <v>76</v>
      </c>
      <c r="L22" t="s">
        <v>77</v>
      </c>
      <c r="M22" t="s">
        <v>77</v>
      </c>
      <c r="N22" t="s">
        <v>101</v>
      </c>
      <c r="O22" t="s">
        <v>79</v>
      </c>
      <c r="T22">
        <v>0</v>
      </c>
      <c r="U22">
        <v>5</v>
      </c>
      <c r="V22">
        <v>5</v>
      </c>
      <c r="W22">
        <v>0</v>
      </c>
      <c r="X22">
        <v>97.436228999999003</v>
      </c>
      <c r="AF22">
        <v>97.430803600000203</v>
      </c>
      <c r="AG22">
        <v>97.436228999999003</v>
      </c>
      <c r="AH22">
        <v>97.436228999999003</v>
      </c>
      <c r="AI22">
        <v>97.436228999999003</v>
      </c>
      <c r="AJ22">
        <v>2.1737000024586398E-3</v>
      </c>
      <c r="AK22">
        <v>100.596468700001</v>
      </c>
      <c r="AL22" t="s">
        <v>62</v>
      </c>
      <c r="AM22" t="s">
        <v>97</v>
      </c>
      <c r="AN22" t="s">
        <v>98</v>
      </c>
      <c r="AO22" t="s">
        <v>76</v>
      </c>
      <c r="AP22" t="s">
        <v>77</v>
      </c>
      <c r="AQ22" t="s">
        <v>77</v>
      </c>
      <c r="AR22" t="s">
        <v>101</v>
      </c>
      <c r="AS22" t="s">
        <v>79</v>
      </c>
      <c r="AT22">
        <v>2</v>
      </c>
      <c r="AU22">
        <v>1</v>
      </c>
      <c r="AV22" t="s">
        <v>54</v>
      </c>
      <c r="AW22" t="s">
        <v>55</v>
      </c>
      <c r="AY22" t="s">
        <v>56</v>
      </c>
      <c r="AZ22">
        <v>163.934694972888</v>
      </c>
      <c r="BA22" t="s">
        <v>57</v>
      </c>
    </row>
    <row r="23" spans="2:53" x14ac:dyDescent="0.35">
      <c r="B23">
        <v>6</v>
      </c>
      <c r="C23">
        <v>6</v>
      </c>
      <c r="D23">
        <v>0</v>
      </c>
      <c r="G23" t="s">
        <v>102</v>
      </c>
      <c r="H23" t="s">
        <v>103</v>
      </c>
      <c r="I23" t="s">
        <v>97</v>
      </c>
      <c r="J23" t="s">
        <v>98</v>
      </c>
      <c r="K23" t="s">
        <v>76</v>
      </c>
      <c r="L23" t="s">
        <v>77</v>
      </c>
      <c r="M23" t="s">
        <v>77</v>
      </c>
      <c r="N23" t="s">
        <v>104</v>
      </c>
      <c r="O23" t="s">
        <v>79</v>
      </c>
      <c r="T23">
        <v>0</v>
      </c>
      <c r="U23">
        <v>6</v>
      </c>
      <c r="V23">
        <v>6</v>
      </c>
      <c r="W23">
        <v>14</v>
      </c>
      <c r="X23">
        <v>100.60322540000099</v>
      </c>
      <c r="AF23">
        <v>100.59797240000201</v>
      </c>
      <c r="AG23">
        <v>100.60322540000099</v>
      </c>
      <c r="AH23">
        <v>100.60322540000099</v>
      </c>
      <c r="AI23">
        <v>100.60322540000099</v>
      </c>
      <c r="AJ23">
        <v>1.45399999746587E-3</v>
      </c>
      <c r="AK23">
        <v>103.420726600001</v>
      </c>
      <c r="AL23" t="s">
        <v>103</v>
      </c>
      <c r="AM23" t="s">
        <v>97</v>
      </c>
      <c r="AN23" t="s">
        <v>98</v>
      </c>
      <c r="AO23" t="s">
        <v>76</v>
      </c>
      <c r="AP23" t="s">
        <v>77</v>
      </c>
      <c r="AQ23" t="s">
        <v>77</v>
      </c>
      <c r="AR23" t="s">
        <v>104</v>
      </c>
      <c r="AS23" t="s">
        <v>79</v>
      </c>
      <c r="AT23">
        <v>2</v>
      </c>
      <c r="AU23">
        <v>1</v>
      </c>
      <c r="AV23" t="s">
        <v>54</v>
      </c>
      <c r="AW23" t="s">
        <v>55</v>
      </c>
      <c r="AY23" t="s">
        <v>56</v>
      </c>
      <c r="AZ23">
        <v>163.934694972888</v>
      </c>
      <c r="BA23" t="s">
        <v>57</v>
      </c>
    </row>
    <row r="24" spans="2:53" x14ac:dyDescent="0.35">
      <c r="B24">
        <v>7</v>
      </c>
      <c r="C24">
        <v>7</v>
      </c>
      <c r="D24">
        <v>0</v>
      </c>
      <c r="G24" t="s">
        <v>105</v>
      </c>
      <c r="H24" t="s">
        <v>106</v>
      </c>
      <c r="I24" t="s">
        <v>97</v>
      </c>
      <c r="J24" t="s">
        <v>98</v>
      </c>
      <c r="K24" t="s">
        <v>76</v>
      </c>
      <c r="L24" t="s">
        <v>77</v>
      </c>
      <c r="M24" t="s">
        <v>77</v>
      </c>
      <c r="N24" t="s">
        <v>107</v>
      </c>
      <c r="O24" t="s">
        <v>79</v>
      </c>
      <c r="T24">
        <v>0</v>
      </c>
      <c r="U24">
        <v>7</v>
      </c>
      <c r="V24">
        <v>7</v>
      </c>
      <c r="W24">
        <v>16</v>
      </c>
      <c r="X24">
        <v>103.4287827</v>
      </c>
      <c r="AF24">
        <v>103.422738199999</v>
      </c>
      <c r="AG24">
        <v>103.4287827</v>
      </c>
      <c r="AH24">
        <v>103.4287827</v>
      </c>
      <c r="AI24">
        <v>103.4287827</v>
      </c>
      <c r="AJ24">
        <v>1.9610999988799401E-3</v>
      </c>
      <c r="AK24">
        <v>106.25554349999901</v>
      </c>
      <c r="AL24" t="s">
        <v>106</v>
      </c>
      <c r="AM24" t="s">
        <v>97</v>
      </c>
      <c r="AN24" t="s">
        <v>98</v>
      </c>
      <c r="AO24" t="s">
        <v>76</v>
      </c>
      <c r="AP24" t="s">
        <v>77</v>
      </c>
      <c r="AQ24" t="s">
        <v>77</v>
      </c>
      <c r="AR24" t="s">
        <v>107</v>
      </c>
      <c r="AS24" t="s">
        <v>79</v>
      </c>
      <c r="AT24">
        <v>2</v>
      </c>
      <c r="AU24">
        <v>1</v>
      </c>
      <c r="AV24" t="s">
        <v>54</v>
      </c>
      <c r="AW24" t="s">
        <v>55</v>
      </c>
      <c r="AY24" t="s">
        <v>56</v>
      </c>
      <c r="AZ24">
        <v>163.934694972888</v>
      </c>
      <c r="BA24" t="s">
        <v>57</v>
      </c>
    </row>
    <row r="25" spans="2:53" x14ac:dyDescent="0.35">
      <c r="B25">
        <v>8</v>
      </c>
      <c r="C25">
        <v>8</v>
      </c>
      <c r="D25">
        <v>0</v>
      </c>
      <c r="G25" t="s">
        <v>108</v>
      </c>
      <c r="H25" t="s">
        <v>61</v>
      </c>
      <c r="I25" t="s">
        <v>97</v>
      </c>
      <c r="J25" t="s">
        <v>98</v>
      </c>
      <c r="K25" t="s">
        <v>76</v>
      </c>
      <c r="L25" t="s">
        <v>77</v>
      </c>
      <c r="M25" t="s">
        <v>77</v>
      </c>
      <c r="N25" t="s">
        <v>109</v>
      </c>
      <c r="O25" t="s">
        <v>79</v>
      </c>
      <c r="T25">
        <v>0</v>
      </c>
      <c r="U25">
        <v>8</v>
      </c>
      <c r="V25">
        <v>8</v>
      </c>
      <c r="W25">
        <v>4</v>
      </c>
      <c r="X25">
        <v>106.266316699999</v>
      </c>
      <c r="AF25">
        <v>106.2589392</v>
      </c>
      <c r="AG25">
        <v>106.266316699999</v>
      </c>
      <c r="AH25">
        <v>106.266316699999</v>
      </c>
      <c r="AI25">
        <v>106.266316699999</v>
      </c>
      <c r="AJ25">
        <v>3.30299999768612E-3</v>
      </c>
      <c r="AK25">
        <v>109.773596499999</v>
      </c>
      <c r="AL25" t="s">
        <v>61</v>
      </c>
      <c r="AM25" t="s">
        <v>97</v>
      </c>
      <c r="AN25" t="s">
        <v>98</v>
      </c>
      <c r="AO25" t="s">
        <v>76</v>
      </c>
      <c r="AP25" t="s">
        <v>77</v>
      </c>
      <c r="AQ25" t="s">
        <v>77</v>
      </c>
      <c r="AR25" t="s">
        <v>109</v>
      </c>
      <c r="AS25" t="s">
        <v>79</v>
      </c>
      <c r="AT25">
        <v>2</v>
      </c>
      <c r="AU25">
        <v>1</v>
      </c>
      <c r="AV25" t="s">
        <v>54</v>
      </c>
      <c r="AW25" t="s">
        <v>55</v>
      </c>
      <c r="AY25" t="s">
        <v>56</v>
      </c>
      <c r="AZ25">
        <v>163.934694972888</v>
      </c>
      <c r="BA25" t="s">
        <v>57</v>
      </c>
    </row>
    <row r="26" spans="2:53" x14ac:dyDescent="0.35">
      <c r="B26">
        <v>9</v>
      </c>
      <c r="C26">
        <v>9</v>
      </c>
      <c r="D26">
        <v>0</v>
      </c>
      <c r="G26" t="s">
        <v>110</v>
      </c>
      <c r="H26" t="s">
        <v>111</v>
      </c>
      <c r="I26" t="s">
        <v>97</v>
      </c>
      <c r="J26" t="s">
        <v>98</v>
      </c>
      <c r="K26" t="s">
        <v>76</v>
      </c>
      <c r="L26" t="s">
        <v>77</v>
      </c>
      <c r="M26" t="s">
        <v>77</v>
      </c>
      <c r="N26" t="s">
        <v>112</v>
      </c>
      <c r="O26" t="s">
        <v>79</v>
      </c>
      <c r="T26">
        <v>0</v>
      </c>
      <c r="U26">
        <v>9</v>
      </c>
      <c r="V26">
        <v>9</v>
      </c>
      <c r="W26">
        <v>11</v>
      </c>
      <c r="X26">
        <v>109.783218200002</v>
      </c>
      <c r="AF26">
        <v>109.776615499999</v>
      </c>
      <c r="AG26">
        <v>109.783218200002</v>
      </c>
      <c r="AH26">
        <v>109.783218200002</v>
      </c>
      <c r="AI26">
        <v>109.783218200002</v>
      </c>
      <c r="AJ26">
        <v>2.93280000187223E-3</v>
      </c>
      <c r="AK26">
        <v>112.274958400001</v>
      </c>
      <c r="AL26" t="s">
        <v>111</v>
      </c>
      <c r="AM26" t="s">
        <v>97</v>
      </c>
      <c r="AN26" t="s">
        <v>98</v>
      </c>
      <c r="AO26" t="s">
        <v>76</v>
      </c>
      <c r="AP26" t="s">
        <v>77</v>
      </c>
      <c r="AQ26" t="s">
        <v>77</v>
      </c>
      <c r="AR26" t="s">
        <v>112</v>
      </c>
      <c r="AS26" t="s">
        <v>79</v>
      </c>
      <c r="AT26">
        <v>2</v>
      </c>
      <c r="AU26">
        <v>1</v>
      </c>
      <c r="AV26" t="s">
        <v>54</v>
      </c>
      <c r="AW26" t="s">
        <v>55</v>
      </c>
      <c r="AY26" t="s">
        <v>56</v>
      </c>
      <c r="AZ26">
        <v>163.934694972888</v>
      </c>
      <c r="BA26" t="s">
        <v>57</v>
      </c>
    </row>
    <row r="27" spans="2:53" x14ac:dyDescent="0.35">
      <c r="B27">
        <v>10</v>
      </c>
      <c r="C27">
        <v>10</v>
      </c>
      <c r="D27">
        <v>0</v>
      </c>
      <c r="G27" t="s">
        <v>113</v>
      </c>
      <c r="H27" t="s">
        <v>114</v>
      </c>
      <c r="I27" t="s">
        <v>115</v>
      </c>
      <c r="J27" t="s">
        <v>98</v>
      </c>
      <c r="K27" t="s">
        <v>76</v>
      </c>
      <c r="L27" t="s">
        <v>77</v>
      </c>
      <c r="M27" t="s">
        <v>77</v>
      </c>
      <c r="N27" t="s">
        <v>116</v>
      </c>
      <c r="O27" t="s">
        <v>79</v>
      </c>
      <c r="T27">
        <v>0</v>
      </c>
      <c r="U27">
        <v>10</v>
      </c>
      <c r="V27">
        <v>10</v>
      </c>
      <c r="W27">
        <v>3</v>
      </c>
      <c r="X27">
        <v>112.283209299999</v>
      </c>
      <c r="AF27">
        <v>112.277256199999</v>
      </c>
      <c r="AG27">
        <v>112.283209299999</v>
      </c>
      <c r="AH27">
        <v>112.283209299999</v>
      </c>
      <c r="AI27">
        <v>112.283209299999</v>
      </c>
      <c r="AJ27">
        <v>2.23740000001271E-3</v>
      </c>
      <c r="AK27">
        <v>114.6727422</v>
      </c>
      <c r="AL27" t="s">
        <v>114</v>
      </c>
      <c r="AM27" t="s">
        <v>115</v>
      </c>
      <c r="AN27" t="s">
        <v>98</v>
      </c>
      <c r="AO27" t="s">
        <v>76</v>
      </c>
      <c r="AP27" t="s">
        <v>77</v>
      </c>
      <c r="AQ27" t="s">
        <v>77</v>
      </c>
      <c r="AR27" t="s">
        <v>116</v>
      </c>
      <c r="AS27" t="s">
        <v>79</v>
      </c>
      <c r="AT27">
        <v>2</v>
      </c>
      <c r="AU27">
        <v>1</v>
      </c>
      <c r="AV27" t="s">
        <v>54</v>
      </c>
      <c r="AW27" t="s">
        <v>55</v>
      </c>
      <c r="AY27" t="s">
        <v>56</v>
      </c>
      <c r="AZ27">
        <v>163.934694972888</v>
      </c>
      <c r="BA27" t="s">
        <v>57</v>
      </c>
    </row>
    <row r="28" spans="2:53" x14ac:dyDescent="0.35">
      <c r="B28">
        <v>11</v>
      </c>
      <c r="C28">
        <v>11</v>
      </c>
      <c r="D28">
        <v>0</v>
      </c>
      <c r="G28" t="s">
        <v>117</v>
      </c>
      <c r="H28" t="s">
        <v>118</v>
      </c>
      <c r="I28" t="s">
        <v>115</v>
      </c>
      <c r="J28" t="s">
        <v>98</v>
      </c>
      <c r="K28" t="s">
        <v>76</v>
      </c>
      <c r="L28" t="s">
        <v>77</v>
      </c>
      <c r="M28" t="s">
        <v>77</v>
      </c>
      <c r="N28" t="s">
        <v>119</v>
      </c>
      <c r="O28" t="s">
        <v>79</v>
      </c>
      <c r="T28">
        <v>0</v>
      </c>
      <c r="U28">
        <v>11</v>
      </c>
      <c r="V28">
        <v>11</v>
      </c>
      <c r="W28">
        <v>17</v>
      </c>
      <c r="X28">
        <v>114.684509800001</v>
      </c>
      <c r="AF28">
        <v>114.67700080000201</v>
      </c>
      <c r="AG28">
        <v>114.684509800001</v>
      </c>
      <c r="AH28">
        <v>114.684509800001</v>
      </c>
      <c r="AI28">
        <v>114.684509800001</v>
      </c>
      <c r="AJ28">
        <v>4.1835999982140397E-3</v>
      </c>
      <c r="AK28">
        <v>118.0053884</v>
      </c>
      <c r="AL28" t="s">
        <v>118</v>
      </c>
      <c r="AM28" t="s">
        <v>115</v>
      </c>
      <c r="AN28" t="s">
        <v>98</v>
      </c>
      <c r="AO28" t="s">
        <v>76</v>
      </c>
      <c r="AP28" t="s">
        <v>77</v>
      </c>
      <c r="AQ28" t="s">
        <v>77</v>
      </c>
      <c r="AR28" t="s">
        <v>119</v>
      </c>
      <c r="AS28" t="s">
        <v>79</v>
      </c>
      <c r="AT28">
        <v>2</v>
      </c>
      <c r="AU28">
        <v>1</v>
      </c>
      <c r="AV28" t="s">
        <v>54</v>
      </c>
      <c r="AW28" t="s">
        <v>55</v>
      </c>
      <c r="AY28" t="s">
        <v>56</v>
      </c>
      <c r="AZ28">
        <v>163.934694972888</v>
      </c>
      <c r="BA28" t="s">
        <v>57</v>
      </c>
    </row>
    <row r="29" spans="2:53" x14ac:dyDescent="0.35">
      <c r="B29">
        <v>12</v>
      </c>
      <c r="C29">
        <v>12</v>
      </c>
      <c r="D29">
        <v>0</v>
      </c>
      <c r="G29" t="s">
        <v>120</v>
      </c>
      <c r="H29" t="s">
        <v>121</v>
      </c>
      <c r="I29" t="s">
        <v>122</v>
      </c>
      <c r="J29" t="s">
        <v>123</v>
      </c>
      <c r="K29" t="s">
        <v>76</v>
      </c>
      <c r="L29" t="s">
        <v>77</v>
      </c>
      <c r="M29" t="s">
        <v>77</v>
      </c>
      <c r="N29" t="s">
        <v>124</v>
      </c>
      <c r="O29" t="s">
        <v>79</v>
      </c>
      <c r="T29">
        <v>0</v>
      </c>
      <c r="U29">
        <v>12</v>
      </c>
      <c r="V29">
        <v>12</v>
      </c>
      <c r="W29">
        <v>15</v>
      </c>
      <c r="X29">
        <v>118.015400700001</v>
      </c>
      <c r="AF29">
        <v>118.0089984</v>
      </c>
      <c r="AG29">
        <v>118.015400700001</v>
      </c>
      <c r="AH29">
        <v>118.015400700001</v>
      </c>
      <c r="AI29">
        <v>118.015400700001</v>
      </c>
      <c r="AJ29">
        <v>3.53170000016689E-3</v>
      </c>
      <c r="AK29">
        <v>119.933901700002</v>
      </c>
      <c r="AL29" t="s">
        <v>121</v>
      </c>
      <c r="AM29" t="s">
        <v>122</v>
      </c>
      <c r="AN29" t="s">
        <v>123</v>
      </c>
      <c r="AO29" t="s">
        <v>76</v>
      </c>
      <c r="AP29" t="s">
        <v>77</v>
      </c>
      <c r="AQ29" t="s">
        <v>77</v>
      </c>
      <c r="AR29" t="s">
        <v>124</v>
      </c>
      <c r="AS29" t="s">
        <v>79</v>
      </c>
      <c r="AT29">
        <v>2</v>
      </c>
      <c r="AU29">
        <v>1</v>
      </c>
      <c r="AV29" t="s">
        <v>54</v>
      </c>
      <c r="AW29" t="s">
        <v>55</v>
      </c>
      <c r="AY29" t="s">
        <v>56</v>
      </c>
      <c r="AZ29">
        <v>163.934694972888</v>
      </c>
      <c r="BA29" t="s">
        <v>57</v>
      </c>
    </row>
    <row r="30" spans="2:53" x14ac:dyDescent="0.35">
      <c r="B30">
        <v>13</v>
      </c>
      <c r="C30">
        <v>13</v>
      </c>
      <c r="D30">
        <v>0</v>
      </c>
      <c r="G30" t="s">
        <v>125</v>
      </c>
      <c r="H30" t="s">
        <v>88</v>
      </c>
      <c r="I30" t="s">
        <v>122</v>
      </c>
      <c r="J30" t="s">
        <v>123</v>
      </c>
      <c r="K30" t="s">
        <v>76</v>
      </c>
      <c r="L30" t="s">
        <v>77</v>
      </c>
      <c r="M30" t="s">
        <v>77</v>
      </c>
      <c r="N30" t="s">
        <v>126</v>
      </c>
      <c r="O30" t="s">
        <v>79</v>
      </c>
      <c r="T30">
        <v>0</v>
      </c>
      <c r="U30">
        <v>13</v>
      </c>
      <c r="V30">
        <v>13</v>
      </c>
      <c r="W30">
        <v>13</v>
      </c>
      <c r="X30">
        <v>119.942361600002</v>
      </c>
      <c r="AF30">
        <v>119.9370189</v>
      </c>
      <c r="AG30">
        <v>119.942361600002</v>
      </c>
      <c r="AH30">
        <v>119.942361600002</v>
      </c>
      <c r="AI30">
        <v>119.942361600002</v>
      </c>
      <c r="AJ30">
        <v>3.0733999992662501E-3</v>
      </c>
      <c r="AK30">
        <v>122.38420749999899</v>
      </c>
      <c r="AL30" t="s">
        <v>88</v>
      </c>
      <c r="AM30" t="s">
        <v>122</v>
      </c>
      <c r="AN30" t="s">
        <v>123</v>
      </c>
      <c r="AO30" t="s">
        <v>76</v>
      </c>
      <c r="AP30" t="s">
        <v>77</v>
      </c>
      <c r="AQ30" t="s">
        <v>77</v>
      </c>
      <c r="AR30" t="s">
        <v>126</v>
      </c>
      <c r="AS30" t="s">
        <v>79</v>
      </c>
      <c r="AT30">
        <v>2</v>
      </c>
      <c r="AU30">
        <v>1</v>
      </c>
      <c r="AV30" t="s">
        <v>54</v>
      </c>
      <c r="AW30" t="s">
        <v>55</v>
      </c>
      <c r="AY30" t="s">
        <v>56</v>
      </c>
      <c r="AZ30">
        <v>163.934694972888</v>
      </c>
      <c r="BA30" t="s">
        <v>57</v>
      </c>
    </row>
    <row r="31" spans="2:53" x14ac:dyDescent="0.35">
      <c r="B31">
        <v>14</v>
      </c>
      <c r="C31">
        <v>14</v>
      </c>
      <c r="D31">
        <v>0</v>
      </c>
      <c r="G31" t="s">
        <v>127</v>
      </c>
      <c r="H31" t="s">
        <v>128</v>
      </c>
      <c r="I31" t="s">
        <v>129</v>
      </c>
      <c r="J31" t="s">
        <v>130</v>
      </c>
      <c r="K31" t="s">
        <v>76</v>
      </c>
      <c r="L31" t="s">
        <v>77</v>
      </c>
      <c r="M31" t="s">
        <v>77</v>
      </c>
      <c r="N31" t="s">
        <v>131</v>
      </c>
      <c r="O31" t="s">
        <v>79</v>
      </c>
      <c r="T31">
        <v>0</v>
      </c>
      <c r="U31">
        <v>14</v>
      </c>
      <c r="V31">
        <v>14</v>
      </c>
      <c r="W31">
        <v>8</v>
      </c>
      <c r="X31">
        <v>122.3927635</v>
      </c>
      <c r="AF31">
        <v>122.387199100001</v>
      </c>
      <c r="AG31">
        <v>122.3927635</v>
      </c>
      <c r="AH31">
        <v>122.3927635</v>
      </c>
      <c r="AI31">
        <v>122.3927635</v>
      </c>
      <c r="AJ31">
        <v>2.91959999958635E-3</v>
      </c>
      <c r="AK31">
        <v>127.33593329999999</v>
      </c>
      <c r="AL31" t="s">
        <v>128</v>
      </c>
      <c r="AM31" t="s">
        <v>129</v>
      </c>
      <c r="AN31" t="s">
        <v>130</v>
      </c>
      <c r="AO31" t="s">
        <v>76</v>
      </c>
      <c r="AP31" t="s">
        <v>77</v>
      </c>
      <c r="AQ31" t="s">
        <v>77</v>
      </c>
      <c r="AR31" t="s">
        <v>131</v>
      </c>
      <c r="AS31" t="s">
        <v>79</v>
      </c>
      <c r="AT31">
        <v>2</v>
      </c>
      <c r="AU31">
        <v>1</v>
      </c>
      <c r="AV31" t="s">
        <v>54</v>
      </c>
      <c r="AW31" t="s">
        <v>55</v>
      </c>
      <c r="AY31" t="s">
        <v>56</v>
      </c>
      <c r="AZ31">
        <v>163.934694972888</v>
      </c>
      <c r="BA31" t="s">
        <v>57</v>
      </c>
    </row>
    <row r="32" spans="2:53" x14ac:dyDescent="0.35">
      <c r="B32">
        <v>15</v>
      </c>
      <c r="C32">
        <v>15</v>
      </c>
      <c r="D32">
        <v>0</v>
      </c>
      <c r="G32" t="s">
        <v>132</v>
      </c>
      <c r="H32" t="s">
        <v>65</v>
      </c>
      <c r="I32" t="s">
        <v>129</v>
      </c>
      <c r="J32" t="s">
        <v>130</v>
      </c>
      <c r="K32" t="s">
        <v>76</v>
      </c>
      <c r="L32" t="s">
        <v>77</v>
      </c>
      <c r="M32" t="s">
        <v>77</v>
      </c>
      <c r="N32" t="s">
        <v>133</v>
      </c>
      <c r="O32" t="s">
        <v>79</v>
      </c>
      <c r="T32">
        <v>0</v>
      </c>
      <c r="U32">
        <v>15</v>
      </c>
      <c r="V32">
        <v>15</v>
      </c>
      <c r="W32">
        <v>5</v>
      </c>
      <c r="X32">
        <v>127.34431480000001</v>
      </c>
      <c r="AF32">
        <v>127.33808519999999</v>
      </c>
      <c r="AG32">
        <v>127.34431480000001</v>
      </c>
      <c r="AH32">
        <v>127.34431480000001</v>
      </c>
      <c r="AI32">
        <v>127.34431480000001</v>
      </c>
      <c r="AJ32">
        <v>2.0351999992271799E-3</v>
      </c>
      <c r="AK32">
        <v>129.40067640000001</v>
      </c>
      <c r="AL32" t="s">
        <v>65</v>
      </c>
      <c r="AM32" t="s">
        <v>129</v>
      </c>
      <c r="AN32" t="s">
        <v>130</v>
      </c>
      <c r="AO32" t="s">
        <v>76</v>
      </c>
      <c r="AP32" t="s">
        <v>77</v>
      </c>
      <c r="AQ32" t="s">
        <v>77</v>
      </c>
      <c r="AR32" t="s">
        <v>133</v>
      </c>
      <c r="AS32" t="s">
        <v>79</v>
      </c>
      <c r="AT32">
        <v>2</v>
      </c>
      <c r="AU32">
        <v>1</v>
      </c>
      <c r="AV32" t="s">
        <v>54</v>
      </c>
      <c r="AW32" t="s">
        <v>55</v>
      </c>
      <c r="AY32" t="s">
        <v>56</v>
      </c>
      <c r="AZ32">
        <v>163.934694972888</v>
      </c>
      <c r="BA32" t="s">
        <v>57</v>
      </c>
    </row>
    <row r="33" spans="2:53" x14ac:dyDescent="0.35">
      <c r="B33">
        <v>16</v>
      </c>
      <c r="C33">
        <v>16</v>
      </c>
      <c r="D33">
        <v>0</v>
      </c>
      <c r="G33" t="s">
        <v>134</v>
      </c>
      <c r="H33" t="s">
        <v>135</v>
      </c>
      <c r="I33" t="s">
        <v>129</v>
      </c>
      <c r="J33" t="s">
        <v>130</v>
      </c>
      <c r="K33" t="s">
        <v>76</v>
      </c>
      <c r="L33" t="s">
        <v>77</v>
      </c>
      <c r="M33" t="s">
        <v>77</v>
      </c>
      <c r="N33" t="s">
        <v>136</v>
      </c>
      <c r="O33" t="s">
        <v>79</v>
      </c>
      <c r="T33">
        <v>0</v>
      </c>
      <c r="U33">
        <v>16</v>
      </c>
      <c r="V33">
        <v>16</v>
      </c>
      <c r="W33">
        <v>1</v>
      </c>
      <c r="X33">
        <v>129.4090794</v>
      </c>
      <c r="AF33">
        <v>129.4034714</v>
      </c>
      <c r="AG33">
        <v>129.4090794</v>
      </c>
      <c r="AH33">
        <v>129.4090794</v>
      </c>
      <c r="AI33">
        <v>129.4090794</v>
      </c>
      <c r="AJ33">
        <v>2.7049000018450802E-3</v>
      </c>
      <c r="AK33">
        <v>155.02708930000099</v>
      </c>
      <c r="AL33" t="s">
        <v>135</v>
      </c>
      <c r="AM33" t="s">
        <v>129</v>
      </c>
      <c r="AN33" t="s">
        <v>130</v>
      </c>
      <c r="AO33" t="s">
        <v>76</v>
      </c>
      <c r="AP33" t="s">
        <v>77</v>
      </c>
      <c r="AQ33" t="s">
        <v>77</v>
      </c>
      <c r="AR33" t="s">
        <v>136</v>
      </c>
      <c r="AS33" t="s">
        <v>79</v>
      </c>
      <c r="AT33">
        <v>2</v>
      </c>
      <c r="AU33">
        <v>1</v>
      </c>
      <c r="AV33" t="s">
        <v>54</v>
      </c>
      <c r="AW33" t="s">
        <v>55</v>
      </c>
      <c r="AY33" t="s">
        <v>56</v>
      </c>
      <c r="AZ33">
        <v>163.934694972888</v>
      </c>
      <c r="BA33" t="s">
        <v>57</v>
      </c>
    </row>
    <row r="34" spans="2:53" x14ac:dyDescent="0.35">
      <c r="B34">
        <v>17</v>
      </c>
      <c r="C34">
        <v>17</v>
      </c>
      <c r="D34">
        <v>0</v>
      </c>
      <c r="G34" t="s">
        <v>137</v>
      </c>
      <c r="H34" t="s">
        <v>138</v>
      </c>
      <c r="I34" t="s">
        <v>129</v>
      </c>
      <c r="J34" t="s">
        <v>139</v>
      </c>
      <c r="K34" t="s">
        <v>76</v>
      </c>
      <c r="L34" t="s">
        <v>77</v>
      </c>
      <c r="M34" t="s">
        <v>77</v>
      </c>
      <c r="N34" t="s">
        <v>140</v>
      </c>
      <c r="O34" t="s">
        <v>79</v>
      </c>
      <c r="T34">
        <v>0</v>
      </c>
      <c r="U34">
        <v>17</v>
      </c>
      <c r="V34">
        <v>17</v>
      </c>
      <c r="W34">
        <v>2</v>
      </c>
      <c r="X34">
        <v>155.03484780000099</v>
      </c>
      <c r="AF34">
        <v>155.02888119999901</v>
      </c>
      <c r="AG34">
        <v>155.03484780000099</v>
      </c>
      <c r="AH34">
        <v>155.03484780000099</v>
      </c>
      <c r="AI34">
        <v>155.03484780000099</v>
      </c>
      <c r="AJ34">
        <v>1.7349999980069599E-3</v>
      </c>
      <c r="AK34">
        <v>158.62605260000001</v>
      </c>
      <c r="AL34" t="s">
        <v>138</v>
      </c>
      <c r="AM34" t="s">
        <v>129</v>
      </c>
      <c r="AN34" t="s">
        <v>139</v>
      </c>
      <c r="AO34" t="s">
        <v>76</v>
      </c>
      <c r="AP34" t="s">
        <v>77</v>
      </c>
      <c r="AQ34" t="s">
        <v>77</v>
      </c>
      <c r="AR34" t="s">
        <v>140</v>
      </c>
      <c r="AS34" t="s">
        <v>79</v>
      </c>
      <c r="AT34">
        <v>2</v>
      </c>
      <c r="AU34">
        <v>1</v>
      </c>
      <c r="AV34" t="s">
        <v>54</v>
      </c>
      <c r="AW34" t="s">
        <v>55</v>
      </c>
      <c r="AY34" t="s">
        <v>56</v>
      </c>
      <c r="AZ34">
        <v>163.934694972888</v>
      </c>
      <c r="BA34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4CC3B-07DC-48F1-A52E-320BDE2B5CE3}">
  <dimension ref="C5:H22"/>
  <sheetViews>
    <sheetView tabSelected="1" topLeftCell="D1" zoomScale="98" workbookViewId="0">
      <selection activeCell="G7" sqref="G7"/>
    </sheetView>
  </sheetViews>
  <sheetFormatPr defaultRowHeight="14.5" x14ac:dyDescent="0.35"/>
  <cols>
    <col min="4" max="4" width="12.7265625" customWidth="1"/>
    <col min="5" max="5" width="35.1796875" customWidth="1"/>
    <col min="7" max="7" width="29.6328125" customWidth="1"/>
  </cols>
  <sheetData>
    <row r="5" spans="3:8" ht="29" x14ac:dyDescent="0.35">
      <c r="C5" s="4" t="s">
        <v>72</v>
      </c>
      <c r="D5" s="5" t="s">
        <v>73</v>
      </c>
    </row>
    <row r="6" spans="3:8" ht="29" x14ac:dyDescent="0.35">
      <c r="C6" s="7" t="s">
        <v>80</v>
      </c>
      <c r="D6" s="8" t="s">
        <v>81</v>
      </c>
    </row>
    <row r="7" spans="3:8" x14ac:dyDescent="0.35">
      <c r="C7" s="2" t="s">
        <v>85</v>
      </c>
      <c r="D7" s="2" t="s">
        <v>59</v>
      </c>
    </row>
    <row r="8" spans="3:8" x14ac:dyDescent="0.35">
      <c r="C8" s="4" t="s">
        <v>87</v>
      </c>
      <c r="D8" s="4" t="s">
        <v>88</v>
      </c>
    </row>
    <row r="9" spans="3:8" x14ac:dyDescent="0.35">
      <c r="C9" s="4" t="s">
        <v>95</v>
      </c>
      <c r="D9" s="4" t="s">
        <v>96</v>
      </c>
    </row>
    <row r="10" spans="3:8" x14ac:dyDescent="0.35">
      <c r="C10" s="2" t="s">
        <v>100</v>
      </c>
      <c r="D10" s="2" t="s">
        <v>62</v>
      </c>
      <c r="E10" s="6"/>
      <c r="F10" s="6" t="s">
        <v>145</v>
      </c>
      <c r="G10" s="6" t="s">
        <v>141</v>
      </c>
      <c r="H10" s="6" t="s">
        <v>142</v>
      </c>
    </row>
    <row r="11" spans="3:8" x14ac:dyDescent="0.35">
      <c r="C11" s="3" t="s">
        <v>102</v>
      </c>
      <c r="D11" s="3" t="s">
        <v>103</v>
      </c>
      <c r="E11" s="6" t="s">
        <v>143</v>
      </c>
      <c r="F11" s="6">
        <v>6</v>
      </c>
      <c r="G11" s="6">
        <v>15</v>
      </c>
      <c r="H11" s="6">
        <f>F11/G11</f>
        <v>0.4</v>
      </c>
    </row>
    <row r="12" spans="3:8" x14ac:dyDescent="0.35">
      <c r="C12" s="3" t="s">
        <v>105</v>
      </c>
      <c r="D12" s="3" t="s">
        <v>106</v>
      </c>
      <c r="E12" s="6"/>
      <c r="F12" s="6"/>
      <c r="G12" s="6" t="s">
        <v>146</v>
      </c>
      <c r="H12" s="6" t="s">
        <v>148</v>
      </c>
    </row>
    <row r="13" spans="3:8" x14ac:dyDescent="0.35">
      <c r="C13" s="2" t="s">
        <v>108</v>
      </c>
      <c r="D13" s="2" t="s">
        <v>61</v>
      </c>
      <c r="E13" s="6" t="s">
        <v>144</v>
      </c>
      <c r="F13" s="6">
        <v>5</v>
      </c>
      <c r="G13" s="6">
        <v>5</v>
      </c>
      <c r="H13" s="6">
        <v>1</v>
      </c>
    </row>
    <row r="14" spans="3:8" x14ac:dyDescent="0.35">
      <c r="C14" s="4" t="s">
        <v>110</v>
      </c>
      <c r="D14" s="4" t="s">
        <v>111</v>
      </c>
      <c r="E14" s="6"/>
      <c r="F14" s="6"/>
      <c r="G14" s="6"/>
      <c r="H14" s="6"/>
    </row>
    <row r="15" spans="3:8" x14ac:dyDescent="0.35">
      <c r="C15" s="4" t="s">
        <v>113</v>
      </c>
      <c r="D15" s="4" t="s">
        <v>114</v>
      </c>
      <c r="E15" s="6" t="s">
        <v>147</v>
      </c>
      <c r="F15" s="6">
        <f>H11-H13</f>
        <v>-0.6</v>
      </c>
      <c r="G15" s="6"/>
      <c r="H15" s="6"/>
    </row>
    <row r="16" spans="3:8" x14ac:dyDescent="0.35">
      <c r="C16" s="3" t="s">
        <v>117</v>
      </c>
      <c r="D16" s="3" t="s">
        <v>118</v>
      </c>
      <c r="E16" s="6"/>
      <c r="F16" s="6"/>
      <c r="G16" s="6"/>
      <c r="H16" s="6"/>
    </row>
    <row r="17" spans="3:4" x14ac:dyDescent="0.35">
      <c r="C17" s="3" t="s">
        <v>120</v>
      </c>
      <c r="D17" s="3" t="s">
        <v>121</v>
      </c>
    </row>
    <row r="18" spans="3:4" x14ac:dyDescent="0.35">
      <c r="C18" s="3" t="s">
        <v>125</v>
      </c>
      <c r="D18" s="3" t="s">
        <v>88</v>
      </c>
    </row>
    <row r="19" spans="3:4" x14ac:dyDescent="0.35">
      <c r="C19" s="4" t="s">
        <v>127</v>
      </c>
      <c r="D19" s="4" t="s">
        <v>128</v>
      </c>
    </row>
    <row r="20" spans="3:4" x14ac:dyDescent="0.35">
      <c r="C20" s="2" t="s">
        <v>132</v>
      </c>
      <c r="D20" s="2" t="s">
        <v>65</v>
      </c>
    </row>
    <row r="21" spans="3:4" x14ac:dyDescent="0.35">
      <c r="C21" s="4" t="s">
        <v>134</v>
      </c>
      <c r="D21" s="4" t="s">
        <v>135</v>
      </c>
    </row>
    <row r="22" spans="3:4" x14ac:dyDescent="0.35">
      <c r="C22" s="2" t="s">
        <v>137</v>
      </c>
      <c r="D22" s="2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002_Primingexp._IshikaKori_AU23</vt:lpstr>
      <vt:lpstr>Analysis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Ishika</dc:creator>
  <cp:lastModifiedBy>Ishika</cp:lastModifiedBy>
  <dcterms:created xsi:type="dcterms:W3CDTF">2025-10-16T12:31:44Z</dcterms:created>
  <dcterms:modified xsi:type="dcterms:W3CDTF">2025-10-16T13:40:09Z</dcterms:modified>
</cp:coreProperties>
</file>